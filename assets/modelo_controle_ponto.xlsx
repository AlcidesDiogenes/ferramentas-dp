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cidesdiogenes\Desktop\"/>
    </mc:Choice>
  </mc:AlternateContent>
  <xr:revisionPtr revIDLastSave="0" documentId="13_ncr:1_{3C264F9C-D74D-4D05-8AC4-A91F1B6E4FC2}" xr6:coauthVersionLast="47" xr6:coauthVersionMax="47" xr10:uidLastSave="{00000000-0000-0000-0000-000000000000}"/>
  <bookViews>
    <workbookView xWindow="-108" yWindow="-108" windowWidth="23256" windowHeight="12456" xr2:uid="{63E4486C-BFBF-44D5-9580-7B05FBEEAF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H26" i="1" s="1"/>
  <c r="G27" i="1"/>
  <c r="H27" i="1" s="1"/>
  <c r="G28" i="1"/>
  <c r="G29" i="1"/>
  <c r="H29" i="1" s="1"/>
  <c r="G30" i="1"/>
  <c r="G31" i="1"/>
  <c r="G32" i="1"/>
  <c r="G33" i="1"/>
  <c r="G34" i="1"/>
  <c r="G35" i="1"/>
  <c r="H35" i="1" s="1"/>
  <c r="G36" i="1"/>
  <c r="H36" i="1" s="1"/>
  <c r="G37" i="1"/>
  <c r="H37" i="1" s="1"/>
  <c r="G38" i="1"/>
  <c r="G39" i="1"/>
  <c r="H39" i="1" s="1"/>
  <c r="G40" i="1"/>
  <c r="H40" i="1" s="1"/>
  <c r="G41" i="1"/>
  <c r="H41" i="1" s="1"/>
  <c r="G42" i="1"/>
  <c r="G43" i="1"/>
  <c r="G44" i="1"/>
  <c r="H44" i="1" s="1"/>
  <c r="G45" i="1"/>
  <c r="G46" i="1"/>
  <c r="G47" i="1"/>
  <c r="H47" i="1" s="1"/>
  <c r="G48" i="1"/>
  <c r="H48" i="1" s="1"/>
  <c r="F5" i="1"/>
  <c r="F3" i="1"/>
  <c r="J39" i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18" i="1"/>
  <c r="J18" i="1" s="1"/>
  <c r="H22" i="1"/>
  <c r="H24" i="1"/>
  <c r="H30" i="1"/>
  <c r="H32" i="1"/>
  <c r="H33" i="1"/>
  <c r="H42" i="1"/>
  <c r="H45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B48" i="1" s="1"/>
  <c r="F4" i="1"/>
  <c r="F6" i="1"/>
  <c r="F7" i="1"/>
  <c r="F8" i="1"/>
  <c r="F9" i="1"/>
  <c r="H28" i="1" l="1"/>
  <c r="H34" i="1"/>
  <c r="J49" i="1"/>
  <c r="H38" i="1"/>
  <c r="H46" i="1"/>
  <c r="H31" i="1"/>
  <c r="K43" i="1"/>
  <c r="K31" i="1"/>
  <c r="K42" i="1"/>
  <c r="K30" i="1"/>
  <c r="K41" i="1"/>
  <c r="K29" i="1"/>
  <c r="K40" i="1"/>
  <c r="K28" i="1"/>
  <c r="K18" i="1"/>
  <c r="K39" i="1"/>
  <c r="K27" i="1"/>
  <c r="K20" i="1"/>
  <c r="K38" i="1"/>
  <c r="K26" i="1"/>
  <c r="K19" i="1"/>
  <c r="K37" i="1"/>
  <c r="K25" i="1"/>
  <c r="K48" i="1"/>
  <c r="K36" i="1"/>
  <c r="K24" i="1"/>
  <c r="K47" i="1"/>
  <c r="K35" i="1"/>
  <c r="K23" i="1"/>
  <c r="K46" i="1"/>
  <c r="K34" i="1"/>
  <c r="K22" i="1"/>
  <c r="K45" i="1"/>
  <c r="K33" i="1"/>
  <c r="K21" i="1"/>
  <c r="K44" i="1"/>
  <c r="K32" i="1"/>
  <c r="H43" i="1"/>
  <c r="H19" i="1"/>
  <c r="H23" i="1"/>
  <c r="H25" i="1"/>
  <c r="H20" i="1"/>
  <c r="H18" i="1"/>
  <c r="H21" i="1"/>
  <c r="I49" i="1"/>
  <c r="G49" i="1"/>
  <c r="B35" i="1"/>
  <c r="B46" i="1"/>
  <c r="B34" i="1"/>
  <c r="B22" i="1"/>
  <c r="B45" i="1"/>
  <c r="B33" i="1"/>
  <c r="B21" i="1"/>
  <c r="B44" i="1"/>
  <c r="B32" i="1"/>
  <c r="B20" i="1"/>
  <c r="B43" i="1"/>
  <c r="B31" i="1"/>
  <c r="B41" i="1"/>
  <c r="B29" i="1"/>
  <c r="B40" i="1"/>
  <c r="B28" i="1"/>
  <c r="B39" i="1"/>
  <c r="B27" i="1"/>
  <c r="B26" i="1"/>
  <c r="B25" i="1"/>
  <c r="B47" i="1"/>
  <c r="B23" i="1"/>
  <c r="B42" i="1"/>
  <c r="B30" i="1"/>
  <c r="B18" i="1"/>
  <c r="B38" i="1"/>
  <c r="B19" i="1"/>
  <c r="B37" i="1"/>
  <c r="B36" i="1"/>
  <c r="B24" i="1"/>
  <c r="F10" i="1"/>
  <c r="F11" i="1" s="1"/>
  <c r="K49" i="1" l="1"/>
  <c r="H49" i="1"/>
</calcChain>
</file>

<file path=xl/sharedStrings.xml><?xml version="1.0" encoding="utf-8"?>
<sst xmlns="http://schemas.openxmlformats.org/spreadsheetml/2006/main" count="31" uniqueCount="26">
  <si>
    <t>Nome do colaborador:</t>
  </si>
  <si>
    <t>Entrada</t>
  </si>
  <si>
    <t>Saida Intervalo</t>
  </si>
  <si>
    <t xml:space="preserve">Retorno Intervalo </t>
  </si>
  <si>
    <t>Saida</t>
  </si>
  <si>
    <t>Segunda</t>
  </si>
  <si>
    <t>Terça</t>
  </si>
  <si>
    <t>Quarta</t>
  </si>
  <si>
    <t>Quinta</t>
  </si>
  <si>
    <t>Sexta</t>
  </si>
  <si>
    <t>Sabado</t>
  </si>
  <si>
    <t>Domingo</t>
  </si>
  <si>
    <t>Total semanal</t>
  </si>
  <si>
    <t>Mês:</t>
  </si>
  <si>
    <t>Ano:</t>
  </si>
  <si>
    <t>Total</t>
  </si>
  <si>
    <t>Total mensal</t>
  </si>
  <si>
    <t>Data</t>
  </si>
  <si>
    <t>Dia da Semana</t>
  </si>
  <si>
    <t>Horas Trabalhadas</t>
  </si>
  <si>
    <t>Horas Extras</t>
  </si>
  <si>
    <t>Horas Noturnas (22h-05h)</t>
  </si>
  <si>
    <t>Atrasos/Faltas</t>
  </si>
  <si>
    <t>Escala da jornada semanal</t>
  </si>
  <si>
    <t>Hora Ficta</t>
  </si>
  <si>
    <t>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</si>
</sst>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2" borderId="1" xfId="0" applyNumberFormat="1" applyFill="1" applyBorder="1" applyProtection="1">
      <protection locked="0"/>
    </xf>
    <xf numFmtId="20" fontId="0" fillId="2" borderId="1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2" borderId="2" xfId="0" applyNumberFormat="1" applyFill="1" applyBorder="1" applyAlignment="1" applyProtection="1">
      <alignment horizontal="center"/>
      <protection locked="0"/>
    </xf>
    <xf numFmtId="1" fontId="0" fillId="2" borderId="3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8D36E1-411B-4CB7-B47D-3C87F9D892B5}">
  <we:reference id="wa200003696" version="1.3.0.0" store="pt-BR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60D8-5E32-4285-963F-8E754CDD6250}">
  <dimension ref="A1:K49"/>
  <sheetViews>
    <sheetView showGridLines="0" tabSelected="1" zoomScale="110" zoomScaleNormal="110" workbookViewId="0">
      <selection activeCell="C18" sqref="C18:F48"/>
    </sheetView>
  </sheetViews>
  <sheetFormatPr defaultColWidth="10.77734375" defaultRowHeight="14.4" x14ac:dyDescent="0.3"/>
  <cols>
    <col min="1" max="1" width="21.109375" customWidth="1"/>
    <col min="2" max="2" width="12.88671875" bestFit="1" customWidth="1"/>
    <col min="3" max="3" width="15.88671875" customWidth="1"/>
    <col min="4" max="4" width="16.6640625" customWidth="1"/>
    <col min="5" max="5" width="15.5546875" bestFit="1" customWidth="1"/>
    <col min="6" max="6" width="14" bestFit="1" customWidth="1"/>
    <col min="7" max="7" width="17.6640625" bestFit="1" customWidth="1"/>
    <col min="8" max="8" width="13.5546875" customWidth="1"/>
    <col min="9" max="9" width="24" bestFit="1" customWidth="1"/>
    <col min="10" max="10" width="13.5546875" customWidth="1"/>
    <col min="11" max="11" width="15.5546875" bestFit="1" customWidth="1"/>
  </cols>
  <sheetData>
    <row r="1" spans="1:6" x14ac:dyDescent="0.3">
      <c r="A1" s="15" t="s">
        <v>23</v>
      </c>
      <c r="B1" s="16"/>
      <c r="C1" s="16"/>
      <c r="D1" s="16"/>
      <c r="E1" s="16"/>
      <c r="F1" s="17"/>
    </row>
    <row r="2" spans="1:6" x14ac:dyDescent="0.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15</v>
      </c>
    </row>
    <row r="3" spans="1:6" x14ac:dyDescent="0.3">
      <c r="A3" s="5" t="s">
        <v>5</v>
      </c>
      <c r="B3" s="11">
        <v>0.58333333333333337</v>
      </c>
      <c r="C3" s="11"/>
      <c r="D3" s="12"/>
      <c r="E3" s="11">
        <v>0.91666666666666663</v>
      </c>
      <c r="F3" s="5">
        <f t="shared" ref="F3:F9" si="0">IF(B3="", "", IF(OR(C3="", D3=""), (E3-B3+(E3&lt;B3)), (C3-B3+(C3&lt;B3)) + (E3-D3+(E3&lt;D3))))</f>
        <v>0.33333333333333326</v>
      </c>
    </row>
    <row r="4" spans="1:6" x14ac:dyDescent="0.3">
      <c r="A4" s="5" t="s">
        <v>6</v>
      </c>
      <c r="B4" s="11">
        <v>0.33333333333333331</v>
      </c>
      <c r="C4" s="11">
        <v>0.5</v>
      </c>
      <c r="D4" s="12">
        <v>0.54166666666666663</v>
      </c>
      <c r="E4" s="12">
        <v>0.75</v>
      </c>
      <c r="F4" s="5">
        <f t="shared" si="0"/>
        <v>0.37500000000000006</v>
      </c>
    </row>
    <row r="5" spans="1:6" x14ac:dyDescent="0.3">
      <c r="A5" s="5" t="s">
        <v>7</v>
      </c>
      <c r="B5" s="11">
        <v>0.33333333333333331</v>
      </c>
      <c r="C5" s="11">
        <v>0.5</v>
      </c>
      <c r="D5" s="12">
        <v>0.54166666666666663</v>
      </c>
      <c r="E5" s="12">
        <v>0.75</v>
      </c>
      <c r="F5" s="5">
        <f t="shared" si="0"/>
        <v>0.37500000000000006</v>
      </c>
    </row>
    <row r="6" spans="1:6" x14ac:dyDescent="0.3">
      <c r="A6" s="5" t="s">
        <v>8</v>
      </c>
      <c r="B6" s="11">
        <v>0.33333333333333331</v>
      </c>
      <c r="C6" s="11">
        <v>0.5</v>
      </c>
      <c r="D6" s="12">
        <v>0.54166666666666663</v>
      </c>
      <c r="E6" s="12">
        <v>0.75</v>
      </c>
      <c r="F6" s="5">
        <f t="shared" si="0"/>
        <v>0.37500000000000006</v>
      </c>
    </row>
    <row r="7" spans="1:6" x14ac:dyDescent="0.3">
      <c r="A7" s="5" t="s">
        <v>9</v>
      </c>
      <c r="B7" s="11">
        <v>0.33333333333333331</v>
      </c>
      <c r="C7" s="11">
        <v>0.5</v>
      </c>
      <c r="D7" s="12">
        <v>0.54166666666666663</v>
      </c>
      <c r="E7" s="12">
        <v>0.70833333333333337</v>
      </c>
      <c r="F7" s="5">
        <f t="shared" si="0"/>
        <v>0.33333333333333343</v>
      </c>
    </row>
    <row r="8" spans="1:6" x14ac:dyDescent="0.3">
      <c r="A8" s="5" t="s">
        <v>10</v>
      </c>
      <c r="B8" s="11"/>
      <c r="C8" s="13"/>
      <c r="D8" s="13"/>
      <c r="E8" s="13"/>
      <c r="F8" s="5" t="str">
        <f t="shared" si="0"/>
        <v/>
      </c>
    </row>
    <row r="9" spans="1:6" x14ac:dyDescent="0.3">
      <c r="A9" s="5" t="s">
        <v>11</v>
      </c>
      <c r="B9" s="13"/>
      <c r="C9" s="13"/>
      <c r="D9" s="13"/>
      <c r="E9" s="13"/>
      <c r="F9" s="5" t="str">
        <f t="shared" si="0"/>
        <v/>
      </c>
    </row>
    <row r="10" spans="1:6" x14ac:dyDescent="0.3">
      <c r="A10" s="18" t="s">
        <v>12</v>
      </c>
      <c r="B10" s="19"/>
      <c r="C10" s="19"/>
      <c r="D10" s="19"/>
      <c r="E10" s="20"/>
      <c r="F10" s="5">
        <f>SUM(F3:F9)</f>
        <v>1.7916666666666667</v>
      </c>
    </row>
    <row r="11" spans="1:6" x14ac:dyDescent="0.3">
      <c r="A11" s="18" t="s">
        <v>16</v>
      </c>
      <c r="B11" s="19"/>
      <c r="C11" s="19"/>
      <c r="D11" s="19"/>
      <c r="E11" s="20"/>
      <c r="F11" s="5">
        <f>F10*5</f>
        <v>8.9583333333333339</v>
      </c>
    </row>
    <row r="12" spans="1:6" x14ac:dyDescent="0.3">
      <c r="F12" s="3"/>
    </row>
    <row r="13" spans="1:6" x14ac:dyDescent="0.3">
      <c r="A13" s="14" t="s">
        <v>0</v>
      </c>
      <c r="B13" s="27" t="s">
        <v>25</v>
      </c>
      <c r="C13" s="27"/>
      <c r="D13" s="27"/>
      <c r="F13" s="9"/>
    </row>
    <row r="14" spans="1:6" x14ac:dyDescent="0.3">
      <c r="A14" s="14" t="s">
        <v>13</v>
      </c>
      <c r="B14" s="21">
        <v>7</v>
      </c>
      <c r="C14" s="22"/>
      <c r="D14" s="23"/>
      <c r="F14" s="8"/>
    </row>
    <row r="15" spans="1:6" x14ac:dyDescent="0.3">
      <c r="A15" s="14" t="s">
        <v>14</v>
      </c>
      <c r="B15" s="24">
        <v>2026</v>
      </c>
      <c r="C15" s="25"/>
      <c r="D15" s="26"/>
      <c r="F15" s="8"/>
    </row>
    <row r="16" spans="1:6" x14ac:dyDescent="0.3">
      <c r="A16" s="3"/>
      <c r="B16" s="4"/>
      <c r="C16" s="4"/>
      <c r="D16" s="4"/>
      <c r="F16" s="8"/>
    </row>
    <row r="17" spans="1:11" x14ac:dyDescent="0.3">
      <c r="A17" s="6" t="s">
        <v>17</v>
      </c>
      <c r="B17" s="2" t="s">
        <v>18</v>
      </c>
      <c r="C17" s="6" t="s">
        <v>1</v>
      </c>
      <c r="D17" s="6" t="s">
        <v>2</v>
      </c>
      <c r="E17" s="6" t="s">
        <v>3</v>
      </c>
      <c r="F17" s="6" t="s">
        <v>4</v>
      </c>
      <c r="G17" s="10" t="s">
        <v>19</v>
      </c>
      <c r="H17" s="10" t="s">
        <v>20</v>
      </c>
      <c r="I17" s="10" t="s">
        <v>21</v>
      </c>
      <c r="J17" s="10" t="s">
        <v>24</v>
      </c>
      <c r="K17" s="10" t="s">
        <v>22</v>
      </c>
    </row>
    <row r="18" spans="1:11" x14ac:dyDescent="0.3">
      <c r="A18" s="7">
        <f>DATE(B15, B14, 1)</f>
        <v>46204</v>
      </c>
      <c r="B18" s="2" t="str">
        <f>IF(A18="", "", TEXT(A18, "DDDD"))</f>
        <v>quarta-feira</v>
      </c>
      <c r="C18" s="11">
        <v>0.54166666666666663</v>
      </c>
      <c r="D18" s="11">
        <v>0.59722222222222221</v>
      </c>
      <c r="E18" s="11">
        <v>0.65972222222222221</v>
      </c>
      <c r="F18" s="11">
        <v>0.91666666666666663</v>
      </c>
      <c r="G18" s="5">
        <f>IF(C18="", "", IF(OR(D18="", E18=""), (F18-C18+(F18&lt;C18)), (D18-C18+(D18&lt;C18)) + (F18-E18+(F18&lt;E18))))</f>
        <v>0.3125</v>
      </c>
      <c r="H18" s="5">
        <f t="shared" ref="H18:H48" si="1">IF(G18="", "", MAX(G18 - SUM(INDEX($F$3:$F$9, WEEKDAY(A18, 2))), 0))</f>
        <v>0</v>
      </c>
      <c r="I18" s="5">
        <f t="shared" ref="I18:I48" si="2">IF(C18="", "", IF(OR(D18="", E18=""), MAX(0, MIN(F18+(F18&lt;C18), 29/24) - MAX(C18, 22/24)) + MAX(0, MIN(F18+(F18&lt;C18), 5/24) - MAX(C18, 0)), (MAX(0, MIN(D18+(D18&lt;C18), 29/24) - MAX(C18, 22/24)) + MAX(0, MIN(D18+(D18&lt;C18), 5/24) - MAX(C18, 0))) + (MAX(0, MIN(F18+(F18&lt;E18), 29/24) - MAX(E18, 22/24)) + MAX(0, MIN(F18+(F18&lt;E18), 5/24) - MAX(E18, 0)))))</f>
        <v>0</v>
      </c>
      <c r="J18" s="5">
        <f>IF(I18="", "", I18 * (8/7))</f>
        <v>0</v>
      </c>
      <c r="K18" s="5">
        <f t="shared" ref="K18:K48" si="3">IF(A18="", "", IF(MAX(SUM(INDEX($F$3:$F$9, WEEKDAY(A18, 2))) - IF(G18="", 0, G18), 0)=0, "", MAX(SUM(INDEX($F$3:$F$9, WEEKDAY(A18, 2))) - IF(G18="", 0, G18), 0)))</f>
        <v>6.2500000000000056E-2</v>
      </c>
    </row>
    <row r="19" spans="1:11" x14ac:dyDescent="0.3">
      <c r="A19" s="7">
        <f>IF(A18="", "", IF(MONTH(A18+1)=$B$14, A18+1, ""))</f>
        <v>46205</v>
      </c>
      <c r="B19" s="2" t="str">
        <f>IF(A19="", "", TEXT(A19, "DDDD"))</f>
        <v>quinta-feira</v>
      </c>
      <c r="C19" s="11">
        <v>0.33333333333333331</v>
      </c>
      <c r="D19" s="11">
        <v>0.51388888888888884</v>
      </c>
      <c r="E19" s="11">
        <v>0.5625</v>
      </c>
      <c r="F19" s="11">
        <v>0.75</v>
      </c>
      <c r="G19" s="5">
        <f>IF(C19="", "", IF(OR(D19="", E19=""), (F19-C19+(F19&lt;C19)), (D19-C19+(D19&lt;C19)) + (F19-E19+(F19&lt;E19))))</f>
        <v>0.36805555555555552</v>
      </c>
      <c r="H19" s="5">
        <f t="shared" si="1"/>
        <v>0</v>
      </c>
      <c r="I19" s="5">
        <f t="shared" si="2"/>
        <v>0</v>
      </c>
      <c r="J19" s="5">
        <f t="shared" ref="J19:J48" si="4">IF(I19="", "", I19 * (8/7))</f>
        <v>0</v>
      </c>
      <c r="K19" s="5">
        <f t="shared" si="3"/>
        <v>6.9444444444445308E-3</v>
      </c>
    </row>
    <row r="20" spans="1:11" x14ac:dyDescent="0.3">
      <c r="A20" s="7">
        <f t="shared" ref="A20:A48" si="5">IF(A19="", "", IF(MONTH(A19+1)=$B$14, A19+1, ""))</f>
        <v>46206</v>
      </c>
      <c r="B20" s="2" t="str">
        <f t="shared" ref="B20:B48" si="6">IF(A20="", "", TEXT(A20, "DDDD"))</f>
        <v>sexta-feira</v>
      </c>
      <c r="C20" s="11">
        <v>0.33333333333333331</v>
      </c>
      <c r="D20" s="11">
        <v>0.51388888888888884</v>
      </c>
      <c r="E20" s="11">
        <v>0.5625</v>
      </c>
      <c r="F20" s="11">
        <v>0.75</v>
      </c>
      <c r="G20" s="5">
        <f t="shared" ref="G20:G48" si="7">IF(C20="", "", IF(OR(D20="", E20=""), (F20-C20+(F20&lt;C20)), (D20-C20+(D20&lt;C20)) + (F20-E20+(F20&lt;E20))))</f>
        <v>0.36805555555555552</v>
      </c>
      <c r="H20" s="5">
        <f t="shared" si="1"/>
        <v>3.4722222222222099E-2</v>
      </c>
      <c r="I20" s="5">
        <f t="shared" si="2"/>
        <v>0</v>
      </c>
      <c r="J20" s="5">
        <f t="shared" si="4"/>
        <v>0</v>
      </c>
      <c r="K20" s="5" t="str">
        <f t="shared" si="3"/>
        <v/>
      </c>
    </row>
    <row r="21" spans="1:11" x14ac:dyDescent="0.3">
      <c r="A21" s="7">
        <f t="shared" si="5"/>
        <v>46207</v>
      </c>
      <c r="B21" s="2" t="str">
        <f t="shared" si="6"/>
        <v>sábado</v>
      </c>
      <c r="C21" s="11">
        <v>0.33333333333333331</v>
      </c>
      <c r="D21" s="11">
        <v>0.51388888888888884</v>
      </c>
      <c r="E21" s="11">
        <v>0.5625</v>
      </c>
      <c r="F21" s="11">
        <v>0.75</v>
      </c>
      <c r="G21" s="5">
        <f t="shared" si="7"/>
        <v>0.36805555555555552</v>
      </c>
      <c r="H21" s="5">
        <f t="shared" si="1"/>
        <v>0.36805555555555552</v>
      </c>
      <c r="I21" s="5">
        <f t="shared" si="2"/>
        <v>0</v>
      </c>
      <c r="J21" s="5">
        <f t="shared" si="4"/>
        <v>0</v>
      </c>
      <c r="K21" s="5" t="str">
        <f t="shared" si="3"/>
        <v/>
      </c>
    </row>
    <row r="22" spans="1:11" x14ac:dyDescent="0.3">
      <c r="A22" s="7">
        <f t="shared" si="5"/>
        <v>46208</v>
      </c>
      <c r="B22" s="2" t="str">
        <f t="shared" si="6"/>
        <v>domingo</v>
      </c>
      <c r="C22" s="13"/>
      <c r="D22" s="13"/>
      <c r="E22" s="13"/>
      <c r="F22" s="13"/>
      <c r="G22" s="5" t="str">
        <f t="shared" si="7"/>
        <v/>
      </c>
      <c r="H22" s="5" t="str">
        <f t="shared" si="1"/>
        <v/>
      </c>
      <c r="I22" s="5" t="str">
        <f t="shared" si="2"/>
        <v/>
      </c>
      <c r="J22" s="5" t="str">
        <f t="shared" si="4"/>
        <v/>
      </c>
      <c r="K22" s="5" t="str">
        <f t="shared" si="3"/>
        <v/>
      </c>
    </row>
    <row r="23" spans="1:11" x14ac:dyDescent="0.3">
      <c r="A23" s="7">
        <f t="shared" si="5"/>
        <v>46209</v>
      </c>
      <c r="B23" s="2" t="str">
        <f t="shared" si="6"/>
        <v>segunda-feira</v>
      </c>
      <c r="C23" s="11">
        <v>0.33333333333333331</v>
      </c>
      <c r="D23" s="11">
        <v>0.51388888888888884</v>
      </c>
      <c r="E23" s="11">
        <v>0.5625</v>
      </c>
      <c r="F23" s="11">
        <v>0.75</v>
      </c>
      <c r="G23" s="5">
        <f t="shared" si="7"/>
        <v>0.36805555555555552</v>
      </c>
      <c r="H23" s="5">
        <f t="shared" si="1"/>
        <v>3.4722222222222265E-2</v>
      </c>
      <c r="I23" s="5">
        <f t="shared" si="2"/>
        <v>0</v>
      </c>
      <c r="J23" s="5">
        <f t="shared" si="4"/>
        <v>0</v>
      </c>
      <c r="K23" s="5" t="str">
        <f t="shared" si="3"/>
        <v/>
      </c>
    </row>
    <row r="24" spans="1:11" x14ac:dyDescent="0.3">
      <c r="A24" s="7">
        <f t="shared" si="5"/>
        <v>46210</v>
      </c>
      <c r="B24" s="2" t="str">
        <f t="shared" si="6"/>
        <v>terça-feira</v>
      </c>
      <c r="C24" s="13"/>
      <c r="D24" s="13"/>
      <c r="E24" s="13"/>
      <c r="F24" s="13"/>
      <c r="G24" s="5" t="str">
        <f t="shared" si="7"/>
        <v/>
      </c>
      <c r="H24" s="5" t="str">
        <f t="shared" si="1"/>
        <v/>
      </c>
      <c r="I24" s="5" t="str">
        <f t="shared" si="2"/>
        <v/>
      </c>
      <c r="J24" s="5" t="str">
        <f t="shared" si="4"/>
        <v/>
      </c>
      <c r="K24" s="5">
        <f t="shared" si="3"/>
        <v>0.37500000000000006</v>
      </c>
    </row>
    <row r="25" spans="1:11" x14ac:dyDescent="0.3">
      <c r="A25" s="7">
        <f t="shared" si="5"/>
        <v>46211</v>
      </c>
      <c r="B25" s="2" t="str">
        <f t="shared" si="6"/>
        <v>quarta-feira</v>
      </c>
      <c r="C25" s="11">
        <v>0.33333333333333331</v>
      </c>
      <c r="D25" s="11">
        <v>0.51388888888888884</v>
      </c>
      <c r="E25" s="11">
        <v>0.5625</v>
      </c>
      <c r="F25" s="11">
        <v>0.75</v>
      </c>
      <c r="G25" s="5">
        <f t="shared" si="7"/>
        <v>0.36805555555555552</v>
      </c>
      <c r="H25" s="5">
        <f t="shared" si="1"/>
        <v>0</v>
      </c>
      <c r="I25" s="5">
        <f t="shared" si="2"/>
        <v>0</v>
      </c>
      <c r="J25" s="5">
        <f t="shared" si="4"/>
        <v>0</v>
      </c>
      <c r="K25" s="5">
        <f t="shared" si="3"/>
        <v>6.9444444444445308E-3</v>
      </c>
    </row>
    <row r="26" spans="1:11" x14ac:dyDescent="0.3">
      <c r="A26" s="7">
        <f t="shared" si="5"/>
        <v>46212</v>
      </c>
      <c r="B26" s="2" t="str">
        <f t="shared" si="6"/>
        <v>quinta-feira</v>
      </c>
      <c r="C26" s="13"/>
      <c r="D26" s="13"/>
      <c r="E26" s="13"/>
      <c r="F26" s="13"/>
      <c r="G26" s="5" t="str">
        <f t="shared" si="7"/>
        <v/>
      </c>
      <c r="H26" s="5" t="str">
        <f t="shared" si="1"/>
        <v/>
      </c>
      <c r="I26" s="5" t="str">
        <f t="shared" si="2"/>
        <v/>
      </c>
      <c r="J26" s="5" t="str">
        <f t="shared" si="4"/>
        <v/>
      </c>
      <c r="K26" s="5">
        <f t="shared" si="3"/>
        <v>0.37500000000000006</v>
      </c>
    </row>
    <row r="27" spans="1:11" x14ac:dyDescent="0.3">
      <c r="A27" s="7">
        <f t="shared" si="5"/>
        <v>46213</v>
      </c>
      <c r="B27" s="2" t="str">
        <f t="shared" si="6"/>
        <v>sexta-feira</v>
      </c>
      <c r="C27" s="13"/>
      <c r="D27" s="13"/>
      <c r="E27" s="13"/>
      <c r="F27" s="13"/>
      <c r="G27" s="5" t="str">
        <f t="shared" si="7"/>
        <v/>
      </c>
      <c r="H27" s="5" t="str">
        <f t="shared" si="1"/>
        <v/>
      </c>
      <c r="I27" s="5" t="str">
        <f t="shared" si="2"/>
        <v/>
      </c>
      <c r="J27" s="5" t="str">
        <f t="shared" si="4"/>
        <v/>
      </c>
      <c r="K27" s="5">
        <f t="shared" si="3"/>
        <v>0.33333333333333343</v>
      </c>
    </row>
    <row r="28" spans="1:11" x14ac:dyDescent="0.3">
      <c r="A28" s="7">
        <f t="shared" si="5"/>
        <v>46214</v>
      </c>
      <c r="B28" s="2" t="str">
        <f t="shared" si="6"/>
        <v>sábado</v>
      </c>
      <c r="C28" s="11">
        <v>0.33333333333333331</v>
      </c>
      <c r="D28" s="11">
        <v>0.51388888888888884</v>
      </c>
      <c r="E28" s="11">
        <v>0.5625</v>
      </c>
      <c r="F28" s="11">
        <v>0.75</v>
      </c>
      <c r="G28" s="5">
        <f t="shared" si="7"/>
        <v>0.36805555555555552</v>
      </c>
      <c r="H28" s="5">
        <f t="shared" si="1"/>
        <v>0.36805555555555552</v>
      </c>
      <c r="I28" s="5">
        <f t="shared" si="2"/>
        <v>0</v>
      </c>
      <c r="J28" s="5">
        <f t="shared" si="4"/>
        <v>0</v>
      </c>
      <c r="K28" s="5" t="str">
        <f t="shared" si="3"/>
        <v/>
      </c>
    </row>
    <row r="29" spans="1:11" x14ac:dyDescent="0.3">
      <c r="A29" s="7">
        <f t="shared" si="5"/>
        <v>46215</v>
      </c>
      <c r="B29" s="2" t="str">
        <f t="shared" si="6"/>
        <v>domingo</v>
      </c>
      <c r="C29" s="13"/>
      <c r="D29" s="13"/>
      <c r="E29" s="13"/>
      <c r="F29" s="13"/>
      <c r="G29" s="5" t="str">
        <f t="shared" si="7"/>
        <v/>
      </c>
      <c r="H29" s="5" t="str">
        <f t="shared" si="1"/>
        <v/>
      </c>
      <c r="I29" s="5" t="str">
        <f t="shared" si="2"/>
        <v/>
      </c>
      <c r="J29" s="5" t="str">
        <f t="shared" si="4"/>
        <v/>
      </c>
      <c r="K29" s="5" t="str">
        <f t="shared" si="3"/>
        <v/>
      </c>
    </row>
    <row r="30" spans="1:11" x14ac:dyDescent="0.3">
      <c r="A30" s="7">
        <f t="shared" si="5"/>
        <v>46216</v>
      </c>
      <c r="B30" s="2" t="str">
        <f t="shared" si="6"/>
        <v>segunda-feira</v>
      </c>
      <c r="C30" s="13"/>
      <c r="D30" s="13"/>
      <c r="E30" s="13"/>
      <c r="F30" s="13"/>
      <c r="G30" s="5" t="str">
        <f t="shared" si="7"/>
        <v/>
      </c>
      <c r="H30" s="5" t="str">
        <f t="shared" si="1"/>
        <v/>
      </c>
      <c r="I30" s="5" t="str">
        <f t="shared" si="2"/>
        <v/>
      </c>
      <c r="J30" s="5" t="str">
        <f t="shared" si="4"/>
        <v/>
      </c>
      <c r="K30" s="5">
        <f t="shared" si="3"/>
        <v>0.33333333333333326</v>
      </c>
    </row>
    <row r="31" spans="1:11" x14ac:dyDescent="0.3">
      <c r="A31" s="7">
        <f t="shared" si="5"/>
        <v>46217</v>
      </c>
      <c r="B31" s="2" t="str">
        <f t="shared" si="6"/>
        <v>terça-feira</v>
      </c>
      <c r="C31" s="11">
        <v>0.33333333333333331</v>
      </c>
      <c r="D31" s="11">
        <v>0.51388888888888884</v>
      </c>
      <c r="E31" s="11">
        <v>0.5625</v>
      </c>
      <c r="F31" s="11">
        <v>0.75</v>
      </c>
      <c r="G31" s="5">
        <f t="shared" si="7"/>
        <v>0.36805555555555552</v>
      </c>
      <c r="H31" s="5">
        <f t="shared" si="1"/>
        <v>0</v>
      </c>
      <c r="I31" s="5">
        <f t="shared" si="2"/>
        <v>0</v>
      </c>
      <c r="J31" s="5">
        <f t="shared" si="4"/>
        <v>0</v>
      </c>
      <c r="K31" s="5">
        <f t="shared" si="3"/>
        <v>6.9444444444445308E-3</v>
      </c>
    </row>
    <row r="32" spans="1:11" x14ac:dyDescent="0.3">
      <c r="A32" s="7">
        <f t="shared" si="5"/>
        <v>46218</v>
      </c>
      <c r="B32" s="2" t="str">
        <f t="shared" si="6"/>
        <v>quarta-feira</v>
      </c>
      <c r="C32" s="13"/>
      <c r="D32" s="13"/>
      <c r="E32" s="13"/>
      <c r="F32" s="13"/>
      <c r="G32" s="5" t="str">
        <f t="shared" si="7"/>
        <v/>
      </c>
      <c r="H32" s="5" t="str">
        <f t="shared" si="1"/>
        <v/>
      </c>
      <c r="I32" s="5" t="str">
        <f t="shared" si="2"/>
        <v/>
      </c>
      <c r="J32" s="5" t="str">
        <f t="shared" si="4"/>
        <v/>
      </c>
      <c r="K32" s="5">
        <f t="shared" si="3"/>
        <v>0.37500000000000006</v>
      </c>
    </row>
    <row r="33" spans="1:11" x14ac:dyDescent="0.3">
      <c r="A33" s="7">
        <f t="shared" si="5"/>
        <v>46219</v>
      </c>
      <c r="B33" s="2" t="str">
        <f t="shared" si="6"/>
        <v>quinta-feira</v>
      </c>
      <c r="C33" s="13"/>
      <c r="D33" s="13"/>
      <c r="E33" s="13"/>
      <c r="F33" s="13"/>
      <c r="G33" s="5" t="str">
        <f t="shared" si="7"/>
        <v/>
      </c>
      <c r="H33" s="5" t="str">
        <f t="shared" si="1"/>
        <v/>
      </c>
      <c r="I33" s="5" t="str">
        <f t="shared" si="2"/>
        <v/>
      </c>
      <c r="J33" s="5" t="str">
        <f t="shared" si="4"/>
        <v/>
      </c>
      <c r="K33" s="5">
        <f t="shared" si="3"/>
        <v>0.37500000000000006</v>
      </c>
    </row>
    <row r="34" spans="1:11" x14ac:dyDescent="0.3">
      <c r="A34" s="7">
        <f t="shared" si="5"/>
        <v>46220</v>
      </c>
      <c r="B34" s="2" t="str">
        <f t="shared" si="6"/>
        <v>sexta-feira</v>
      </c>
      <c r="C34" s="11">
        <v>0.33333333333333331</v>
      </c>
      <c r="D34" s="11">
        <v>0.51388888888888884</v>
      </c>
      <c r="E34" s="11">
        <v>0.5625</v>
      </c>
      <c r="F34" s="11">
        <v>0.75</v>
      </c>
      <c r="G34" s="5">
        <f t="shared" si="7"/>
        <v>0.36805555555555552</v>
      </c>
      <c r="H34" s="5">
        <f t="shared" si="1"/>
        <v>3.4722222222222099E-2</v>
      </c>
      <c r="I34" s="5">
        <f t="shared" si="2"/>
        <v>0</v>
      </c>
      <c r="J34" s="5">
        <f t="shared" si="4"/>
        <v>0</v>
      </c>
      <c r="K34" s="5" t="str">
        <f t="shared" si="3"/>
        <v/>
      </c>
    </row>
    <row r="35" spans="1:11" x14ac:dyDescent="0.3">
      <c r="A35" s="7">
        <f t="shared" si="5"/>
        <v>46221</v>
      </c>
      <c r="B35" s="2" t="str">
        <f t="shared" si="6"/>
        <v>sábado</v>
      </c>
      <c r="C35" s="13"/>
      <c r="D35" s="13"/>
      <c r="E35" s="13"/>
      <c r="F35" s="13"/>
      <c r="G35" s="5" t="str">
        <f t="shared" si="7"/>
        <v/>
      </c>
      <c r="H35" s="5" t="str">
        <f t="shared" si="1"/>
        <v/>
      </c>
      <c r="I35" s="5" t="str">
        <f t="shared" si="2"/>
        <v/>
      </c>
      <c r="J35" s="5" t="str">
        <f t="shared" si="4"/>
        <v/>
      </c>
      <c r="K35" s="5" t="str">
        <f t="shared" si="3"/>
        <v/>
      </c>
    </row>
    <row r="36" spans="1:11" x14ac:dyDescent="0.3">
      <c r="A36" s="7">
        <f t="shared" si="5"/>
        <v>46222</v>
      </c>
      <c r="B36" s="2" t="str">
        <f t="shared" si="6"/>
        <v>domingo</v>
      </c>
      <c r="C36" s="13"/>
      <c r="D36" s="13"/>
      <c r="E36" s="13"/>
      <c r="F36" s="13"/>
      <c r="G36" s="5" t="str">
        <f t="shared" si="7"/>
        <v/>
      </c>
      <c r="H36" s="5" t="str">
        <f t="shared" si="1"/>
        <v/>
      </c>
      <c r="I36" s="5" t="str">
        <f t="shared" si="2"/>
        <v/>
      </c>
      <c r="J36" s="5" t="str">
        <f t="shared" si="4"/>
        <v/>
      </c>
      <c r="K36" s="5" t="str">
        <f t="shared" si="3"/>
        <v/>
      </c>
    </row>
    <row r="37" spans="1:11" x14ac:dyDescent="0.3">
      <c r="A37" s="7">
        <f t="shared" si="5"/>
        <v>46223</v>
      </c>
      <c r="B37" s="2" t="str">
        <f t="shared" si="6"/>
        <v>segunda-feira</v>
      </c>
      <c r="C37" s="13"/>
      <c r="D37" s="13"/>
      <c r="E37" s="13"/>
      <c r="F37" s="13"/>
      <c r="G37" s="5" t="str">
        <f t="shared" si="7"/>
        <v/>
      </c>
      <c r="H37" s="5" t="str">
        <f t="shared" si="1"/>
        <v/>
      </c>
      <c r="I37" s="5" t="str">
        <f t="shared" si="2"/>
        <v/>
      </c>
      <c r="J37" s="5" t="str">
        <f t="shared" si="4"/>
        <v/>
      </c>
      <c r="K37" s="5">
        <f t="shared" si="3"/>
        <v>0.33333333333333326</v>
      </c>
    </row>
    <row r="38" spans="1:11" x14ac:dyDescent="0.3">
      <c r="A38" s="7">
        <f t="shared" si="5"/>
        <v>46224</v>
      </c>
      <c r="B38" s="2" t="str">
        <f t="shared" si="6"/>
        <v>terça-feira</v>
      </c>
      <c r="C38" s="11">
        <v>0.33333333333333331</v>
      </c>
      <c r="D38" s="11">
        <v>0.51388888888888884</v>
      </c>
      <c r="E38" s="11">
        <v>0.5625</v>
      </c>
      <c r="F38" s="11">
        <v>0.75</v>
      </c>
      <c r="G38" s="5">
        <f t="shared" si="7"/>
        <v>0.36805555555555552</v>
      </c>
      <c r="H38" s="5">
        <f t="shared" si="1"/>
        <v>0</v>
      </c>
      <c r="I38" s="5">
        <f t="shared" si="2"/>
        <v>0</v>
      </c>
      <c r="J38" s="5">
        <f t="shared" si="4"/>
        <v>0</v>
      </c>
      <c r="K38" s="5">
        <f t="shared" si="3"/>
        <v>6.9444444444445308E-3</v>
      </c>
    </row>
    <row r="39" spans="1:11" x14ac:dyDescent="0.3">
      <c r="A39" s="7">
        <f t="shared" si="5"/>
        <v>46225</v>
      </c>
      <c r="B39" s="2" t="str">
        <f t="shared" si="6"/>
        <v>quarta-feira</v>
      </c>
      <c r="C39" s="13"/>
      <c r="D39" s="13"/>
      <c r="E39" s="13"/>
      <c r="F39" s="13"/>
      <c r="G39" s="5" t="str">
        <f t="shared" si="7"/>
        <v/>
      </c>
      <c r="H39" s="5" t="str">
        <f t="shared" si="1"/>
        <v/>
      </c>
      <c r="I39" s="5" t="str">
        <f t="shared" si="2"/>
        <v/>
      </c>
      <c r="J39" s="5" t="str">
        <f t="shared" si="4"/>
        <v/>
      </c>
      <c r="K39" s="5">
        <f t="shared" si="3"/>
        <v>0.37500000000000006</v>
      </c>
    </row>
    <row r="40" spans="1:11" x14ac:dyDescent="0.3">
      <c r="A40" s="7">
        <f t="shared" si="5"/>
        <v>46226</v>
      </c>
      <c r="B40" s="2" t="str">
        <f t="shared" si="6"/>
        <v>quinta-feira</v>
      </c>
      <c r="C40" s="13"/>
      <c r="D40" s="13"/>
      <c r="E40" s="13"/>
      <c r="F40" s="13"/>
      <c r="G40" s="5" t="str">
        <f t="shared" si="7"/>
        <v/>
      </c>
      <c r="H40" s="5" t="str">
        <f t="shared" si="1"/>
        <v/>
      </c>
      <c r="I40" s="5" t="str">
        <f t="shared" si="2"/>
        <v/>
      </c>
      <c r="J40" s="5" t="str">
        <f t="shared" si="4"/>
        <v/>
      </c>
      <c r="K40" s="5">
        <f t="shared" si="3"/>
        <v>0.37500000000000006</v>
      </c>
    </row>
    <row r="41" spans="1:11" x14ac:dyDescent="0.3">
      <c r="A41" s="7">
        <f t="shared" si="5"/>
        <v>46227</v>
      </c>
      <c r="B41" s="2" t="str">
        <f t="shared" si="6"/>
        <v>sexta-feira</v>
      </c>
      <c r="C41" s="13"/>
      <c r="D41" s="13"/>
      <c r="E41" s="13"/>
      <c r="F41" s="13"/>
      <c r="G41" s="5" t="str">
        <f t="shared" si="7"/>
        <v/>
      </c>
      <c r="H41" s="5" t="str">
        <f t="shared" si="1"/>
        <v/>
      </c>
      <c r="I41" s="5" t="str">
        <f t="shared" si="2"/>
        <v/>
      </c>
      <c r="J41" s="5" t="str">
        <f t="shared" si="4"/>
        <v/>
      </c>
      <c r="K41" s="5">
        <f t="shared" si="3"/>
        <v>0.33333333333333343</v>
      </c>
    </row>
    <row r="42" spans="1:11" x14ac:dyDescent="0.3">
      <c r="A42" s="7">
        <f t="shared" si="5"/>
        <v>46228</v>
      </c>
      <c r="B42" s="2" t="str">
        <f t="shared" si="6"/>
        <v>sábado</v>
      </c>
      <c r="C42" s="13"/>
      <c r="D42" s="13"/>
      <c r="E42" s="13"/>
      <c r="F42" s="13"/>
      <c r="G42" s="5" t="str">
        <f t="shared" si="7"/>
        <v/>
      </c>
      <c r="H42" s="5" t="str">
        <f t="shared" si="1"/>
        <v/>
      </c>
      <c r="I42" s="5" t="str">
        <f t="shared" si="2"/>
        <v/>
      </c>
      <c r="J42" s="5" t="str">
        <f t="shared" si="4"/>
        <v/>
      </c>
      <c r="K42" s="5" t="str">
        <f t="shared" si="3"/>
        <v/>
      </c>
    </row>
    <row r="43" spans="1:11" x14ac:dyDescent="0.3">
      <c r="A43" s="7">
        <f t="shared" si="5"/>
        <v>46229</v>
      </c>
      <c r="B43" s="2" t="str">
        <f t="shared" si="6"/>
        <v>domingo</v>
      </c>
      <c r="C43" s="11">
        <v>0.33333333333333331</v>
      </c>
      <c r="D43" s="11">
        <v>0.51388888888888884</v>
      </c>
      <c r="E43" s="11">
        <v>0.5625</v>
      </c>
      <c r="F43" s="11">
        <v>0.75</v>
      </c>
      <c r="G43" s="5">
        <f t="shared" si="7"/>
        <v>0.36805555555555552</v>
      </c>
      <c r="H43" s="5">
        <f t="shared" si="1"/>
        <v>0.36805555555555552</v>
      </c>
      <c r="I43" s="5">
        <f t="shared" si="2"/>
        <v>0</v>
      </c>
      <c r="J43" s="5">
        <f t="shared" si="4"/>
        <v>0</v>
      </c>
      <c r="K43" s="5" t="str">
        <f t="shared" si="3"/>
        <v/>
      </c>
    </row>
    <row r="44" spans="1:11" x14ac:dyDescent="0.3">
      <c r="A44" s="7">
        <f t="shared" si="5"/>
        <v>46230</v>
      </c>
      <c r="B44" s="2" t="str">
        <f t="shared" si="6"/>
        <v>segunda-feira</v>
      </c>
      <c r="C44" s="13"/>
      <c r="D44" s="13"/>
      <c r="E44" s="13"/>
      <c r="F44" s="13"/>
      <c r="G44" s="5" t="str">
        <f t="shared" si="7"/>
        <v/>
      </c>
      <c r="H44" s="5" t="str">
        <f t="shared" si="1"/>
        <v/>
      </c>
      <c r="I44" s="5" t="str">
        <f t="shared" si="2"/>
        <v/>
      </c>
      <c r="J44" s="5" t="str">
        <f t="shared" si="4"/>
        <v/>
      </c>
      <c r="K44" s="5">
        <f t="shared" si="3"/>
        <v>0.33333333333333326</v>
      </c>
    </row>
    <row r="45" spans="1:11" x14ac:dyDescent="0.3">
      <c r="A45" s="7">
        <f t="shared" si="5"/>
        <v>46231</v>
      </c>
      <c r="B45" s="2" t="str">
        <f t="shared" si="6"/>
        <v>terça-feira</v>
      </c>
      <c r="C45" s="13"/>
      <c r="D45" s="13"/>
      <c r="E45" s="13"/>
      <c r="F45" s="13"/>
      <c r="G45" s="5" t="str">
        <f t="shared" si="7"/>
        <v/>
      </c>
      <c r="H45" s="5" t="str">
        <f t="shared" si="1"/>
        <v/>
      </c>
      <c r="I45" s="5" t="str">
        <f t="shared" si="2"/>
        <v/>
      </c>
      <c r="J45" s="5" t="str">
        <f t="shared" si="4"/>
        <v/>
      </c>
      <c r="K45" s="5">
        <f t="shared" si="3"/>
        <v>0.37500000000000006</v>
      </c>
    </row>
    <row r="46" spans="1:11" x14ac:dyDescent="0.3">
      <c r="A46" s="7">
        <f t="shared" si="5"/>
        <v>46232</v>
      </c>
      <c r="B46" s="2" t="str">
        <f t="shared" si="6"/>
        <v>quarta-feira</v>
      </c>
      <c r="C46" s="11">
        <v>0.33333333333333331</v>
      </c>
      <c r="D46" s="11">
        <v>0.51388888888888884</v>
      </c>
      <c r="E46" s="11">
        <v>0.5625</v>
      </c>
      <c r="F46" s="11">
        <v>0.75</v>
      </c>
      <c r="G46" s="5">
        <f t="shared" si="7"/>
        <v>0.36805555555555552</v>
      </c>
      <c r="H46" s="5">
        <f t="shared" si="1"/>
        <v>0</v>
      </c>
      <c r="I46" s="5">
        <f t="shared" si="2"/>
        <v>0</v>
      </c>
      <c r="J46" s="5">
        <f t="shared" si="4"/>
        <v>0</v>
      </c>
      <c r="K46" s="5">
        <f t="shared" si="3"/>
        <v>6.9444444444445308E-3</v>
      </c>
    </row>
    <row r="47" spans="1:11" x14ac:dyDescent="0.3">
      <c r="A47" s="7">
        <f t="shared" si="5"/>
        <v>46233</v>
      </c>
      <c r="B47" s="2" t="str">
        <f t="shared" si="6"/>
        <v>quinta-feira</v>
      </c>
      <c r="C47" s="13"/>
      <c r="D47" s="13"/>
      <c r="E47" s="13"/>
      <c r="F47" s="13"/>
      <c r="G47" s="5" t="str">
        <f t="shared" si="7"/>
        <v/>
      </c>
      <c r="H47" s="5" t="str">
        <f t="shared" si="1"/>
        <v/>
      </c>
      <c r="I47" s="5" t="str">
        <f t="shared" si="2"/>
        <v/>
      </c>
      <c r="J47" s="5" t="str">
        <f t="shared" si="4"/>
        <v/>
      </c>
      <c r="K47" s="5">
        <f t="shared" si="3"/>
        <v>0.37500000000000006</v>
      </c>
    </row>
    <row r="48" spans="1:11" x14ac:dyDescent="0.3">
      <c r="A48" s="7">
        <f t="shared" si="5"/>
        <v>46234</v>
      </c>
      <c r="B48" s="2" t="str">
        <f t="shared" si="6"/>
        <v>sexta-feira</v>
      </c>
      <c r="C48" s="13"/>
      <c r="D48" s="13"/>
      <c r="E48" s="13"/>
      <c r="F48" s="13"/>
      <c r="G48" s="5" t="str">
        <f t="shared" si="7"/>
        <v/>
      </c>
      <c r="H48" s="5" t="str">
        <f t="shared" si="1"/>
        <v/>
      </c>
      <c r="I48" s="5" t="str">
        <f t="shared" si="2"/>
        <v/>
      </c>
      <c r="J48" s="5" t="str">
        <f t="shared" si="4"/>
        <v/>
      </c>
      <c r="K48" s="5">
        <f t="shared" si="3"/>
        <v>0.33333333333333343</v>
      </c>
    </row>
    <row r="49" spans="6:11" x14ac:dyDescent="0.3">
      <c r="F49" s="1" t="s">
        <v>15</v>
      </c>
      <c r="G49" s="5">
        <f>SUM(G18:G48)</f>
        <v>4.3611111111111098</v>
      </c>
      <c r="H49" s="5">
        <f t="shared" ref="H49:K49" si="8">SUM(H18:H48)</f>
        <v>1.208333333333333</v>
      </c>
      <c r="I49" s="5">
        <f t="shared" si="8"/>
        <v>0</v>
      </c>
      <c r="J49" s="5">
        <f t="shared" si="8"/>
        <v>0</v>
      </c>
      <c r="K49" s="5">
        <f t="shared" si="8"/>
        <v>5.0972222222222232</v>
      </c>
    </row>
  </sheetData>
  <sheetProtection sheet="1" objects="1" scenarios="1" selectLockedCells="1"/>
  <mergeCells count="6">
    <mergeCell ref="A1:F1"/>
    <mergeCell ref="A10:E10"/>
    <mergeCell ref="A11:E11"/>
    <mergeCell ref="B14:D14"/>
    <mergeCell ref="B15:D15"/>
    <mergeCell ref="B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Alcides Diogenes</dc:creator>
  <cp:lastModifiedBy>Alcides Diogenes</cp:lastModifiedBy>
  <dcterms:created xsi:type="dcterms:W3CDTF">2026-07-15T12:27:00Z</dcterms:created>
  <dcterms:modified xsi:type="dcterms:W3CDTF">2026-07-15T19:38:57Z</dcterms:modified>
</cp:coreProperties>
</file>